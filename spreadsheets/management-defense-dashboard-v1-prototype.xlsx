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d46c1defd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経営サマリー" sheetId="1" r:id="Rf45c6ab350b7436b"/>
    <x:sheet xmlns:r="http://schemas.openxmlformats.org/officeDocument/2006/relationships" name="月次利益" sheetId="2" r:id="R0ecb0a9cad764765"/>
    <x:sheet xmlns:r="http://schemas.openxmlformats.org/officeDocument/2006/relationships" name="データ取込状況" sheetId="3" r:id="R8b7f88cedc7042ad"/>
    <x:sheet xmlns:r="http://schemas.openxmlformats.org/officeDocument/2006/relationships" name="支出サブスク" sheetId="4" r:id="R940c232a37324b20"/>
    <x:sheet xmlns:r="http://schemas.openxmlformats.org/officeDocument/2006/relationships" name="商品カテゴリ別" sheetId="5" r:id="Rc216f5bab1584b74"/>
    <x:sheet xmlns:r="http://schemas.openxmlformats.org/officeDocument/2006/relationships" name="要確認" sheetId="6" r:id="R9fdfd30b1cc54c7e"/>
    <x:sheet xmlns:r="http://schemas.openxmlformats.org/officeDocument/2006/relationships" name="月次チェック" sheetId="7" r:id="Rff69e4561de1488e"/>
    <x:sheet xmlns:r="http://schemas.openxmlformats.org/officeDocument/2006/relationships" name="設定" sheetId="8" r:id="R38121c9f5fb5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;[Red]-¥#,##0;¥0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b41603d3d4cff" /><Relationship Type="http://schemas.openxmlformats.org/officeDocument/2006/relationships/theme" Target="/xl/theme/theme1.xml" Id="R1aaa3bd76e3d48ff" /><Relationship Type="http://schemas.openxmlformats.org/officeDocument/2006/relationships/sharedStrings" Target="/xl/sharedStrings.xml" Id="R64102767139f41dd" /><Relationship Type="http://schemas.openxmlformats.org/officeDocument/2006/relationships/worksheet" Target="/xl/worksheets/sheet1.xml" Id="Rf45c6ab350b7436b" /><Relationship Type="http://schemas.openxmlformats.org/officeDocument/2006/relationships/worksheet" Target="/xl/worksheets/sheet2.xml" Id="R0ecb0a9cad764765" /><Relationship Type="http://schemas.openxmlformats.org/officeDocument/2006/relationships/worksheet" Target="/xl/worksheets/sheet3.xml" Id="R8b7f88cedc7042ad" /><Relationship Type="http://schemas.openxmlformats.org/officeDocument/2006/relationships/worksheet" Target="/xl/worksheets/sheet4.xml" Id="R940c232a37324b20" /><Relationship Type="http://schemas.openxmlformats.org/officeDocument/2006/relationships/worksheet" Target="/xl/worksheets/sheet5.xml" Id="Rc216f5bab1584b74" /><Relationship Type="http://schemas.openxmlformats.org/officeDocument/2006/relationships/worksheet" Target="/xl/worksheets/sheet6.xml" Id="R9fdfd30b1cc54c7e" /><Relationship Type="http://schemas.openxmlformats.org/officeDocument/2006/relationships/worksheet" Target="/xl/worksheets/sheet7.xml" Id="Rff69e4561de1488e" /><Relationship Type="http://schemas.openxmlformats.org/officeDocument/2006/relationships/worksheet" Target="/xl/worksheets/sheet8.xml" Id="R38121c9f5fb549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fb8321537b45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月次 実質利益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実質利益</c:v>
          </c:tx>
          <c:cat>
            <c:strRef>
              <c:f>'経営サマリー'!$D$5:$D$16</c:f>
              <c:strCache>
                <c:ptCount val="0"/>
              </c:strCache>
            </c:strRef>
          </c:cat>
          <c:val>
            <c:numRef>
              <c:f>'経営サマリー'!$E$5:$E$16</c:f>
              <c:numCache>
                <c:formatCode>¥#,##0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fb8321537b457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bc4a31d5cc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6999816894531" hidden="0" customWidth="1"/>
    <x:col min="2" max="2" width="36" hidden="0" customWidth="1"/>
    <x:col min="4" max="4" width="8.4399995803833" hidden="0" customWidth="1"/>
    <x:col min="5" max="5" width="6.440000057220459" hidden="0" customWidth="1"/>
  </x:cols>
  <x:sheetData>
    <x:row r="1">
      <x:c r="A1" s="10" t="str">
        <x:v>経営防御ダッシュボード v1 試作（本番GAS未変更）</x:v>
      </x:c>
      <x:c r="B1" s="10" t="str"/>
      <x:c r="C1" s="10" t="str"/>
      <x:c r="D1" s="10" t="str"/>
      <x:c r="E1" s="10" t="str"/>
      <x:c r="F1" s="10" t="str"/>
      <x:c r="G1" s="10" t="str"/>
      <x:c r="H1" s="10" t="str"/>
    </x:row>
    <x:row r="2">
      <x:c r="A2" s="11" t="str">
        <x:v>対象月</x:v>
      </x:c>
      <x:c r="B2" s="11" t="str">
        <x:v>2026年05月</x:v>
      </x:c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1" t="str">
        <x:v>指標</x:v>
      </x:c>
      <x:c r="B4" s="11" t="str">
        <x:v>値</x:v>
      </x:c>
      <x:c r="C4" s="12"/>
      <x:c r="D4" s="11" t="str">
        <x:v>月</x:v>
      </x:c>
      <x:c r="E4" s="11" t="str">
        <x:v>実質利益</x:v>
      </x:c>
      <x:c r="F4" s="12"/>
      <x:c r="G4" s="12"/>
      <x:c r="H4" s="12"/>
    </x:row>
    <x:row r="5">
      <x:c r="A5" s="12" t="str">
        <x:v>売上</x:v>
      </x:c>
      <x:c r="B5" s="12" t="str">
        <x:f>IFERROR(INDEX('月次利益'!B:B,MATCH($B$2,'月次利益'!A:A,0)),"")</x:f>
      </x:c>
      <x:c r="C5" s="12"/>
      <x:c r="D5" s="12" t="str">
        <x:f>'月次利益'!A2</x:f>
        <x:v>2026年01月</x:v>
      </x:c>
      <x:c r="E5" s="12" t="str">
        <x:f>'月次利益'!J2</x:f>
      </x:c>
      <x:c r="F5" s="12"/>
      <x:c r="G5" s="12"/>
      <x:c r="H5" s="12"/>
    </x:row>
    <x:row r="6">
      <x:c r="A6" s="12" t="str">
        <x:v>実質利益</x:v>
      </x:c>
      <x:c r="B6" s="12" t="str">
        <x:f>IFERROR(INDEX('月次利益'!J:J,MATCH($B$2,'月次利益'!A:A,0)),"")</x:f>
      </x:c>
      <x:c r="C6" s="12"/>
      <x:c r="D6" s="12" t="str">
        <x:f>'月次利益'!A3</x:f>
        <x:v>2026年02月</x:v>
      </x:c>
      <x:c r="E6" s="12" t="str">
        <x:f>'月次利益'!J3</x:f>
      </x:c>
      <x:c r="F6" s="12"/>
      <x:c r="G6" s="12"/>
      <x:c r="H6" s="12"/>
    </x:row>
    <x:row r="7">
      <x:c r="A7" s="12" t="str">
        <x:v>利益率</x:v>
      </x:c>
      <x:c r="B7" s="12" t="str">
        <x:f>IFERROR(INDEX('月次利益'!K:K,MATCH($B$2,'月次利益'!A:A,0)),"")</x:f>
      </x:c>
      <x:c r="C7" s="12"/>
      <x:c r="D7" s="12" t="str">
        <x:f>'月次利益'!A4</x:f>
        <x:v>2026年03月</x:v>
      </x:c>
      <x:c r="E7" s="12" t="str">
        <x:f>'月次利益'!J4</x:f>
      </x:c>
      <x:c r="F7" s="12"/>
      <x:c r="G7" s="12"/>
      <x:c r="H7" s="12"/>
    </x:row>
    <x:row r="8">
      <x:c r="A8" s="12" t="str">
        <x:v>最大コスト</x:v>
      </x:c>
      <x:c r="B8" s="12" t="str">
        <x:f>IF(B5="","入力待ち",INDEX({"仕入原価","eBay費用","送料","関税","外注費","固定費"},1,MATCH(MAX(INDEX('月次利益'!C:H,MATCH($B$2,'月次利益'!A:A,0),0)),INDEX('月次利益'!C:H,MATCH($B$2,'月次利益'!A:A,0),0),0)))</x:f>
        <x:v>入力待ち</x:v>
      </x:c>
      <x:c r="C8" s="12"/>
      <x:c r="D8" s="12" t="str">
        <x:f>'月次利益'!A5</x:f>
        <x:v>2026年04月</x:v>
      </x:c>
      <x:c r="E8" s="12" t="str">
        <x:f>'月次利益'!J5</x:f>
      </x:c>
      <x:c r="F8" s="12"/>
      <x:c r="G8" s="12"/>
      <x:c r="H8" s="12"/>
    </x:row>
    <x:row r="9">
      <x:c r="A9" s="12" t="str">
        <x:v>要確認件数</x:v>
      </x:c>
      <x:c r="B9" s="12" t="n">
        <x:f>COUNTIF('要確認'!E:E,"&lt;&gt;完了")-1</x:f>
        <x:v>7</x:v>
      </x:c>
      <x:c r="C9" s="12"/>
      <x:c r="D9" s="12" t="str">
        <x:f>'月次利益'!A6</x:f>
        <x:v>2026年05月</x:v>
      </x:c>
      <x:c r="E9" s="12" t="str">
        <x:f>'月次利益'!J6</x:f>
      </x:c>
      <x:c r="F9" s="12"/>
      <x:c r="G9" s="12"/>
      <x:c r="H9" s="12"/>
    </x:row>
    <x:row r="10">
      <x:c r="A10" s="12" t="str">
        <x:v>月次締め状態</x:v>
      </x:c>
      <x:c r="B10" s="12" t="str">
        <x:f>IFERROR(INDEX('月次利益'!L:L,MATCH($B$2,'月次利益'!A:A,0)),"未")</x:f>
        <x:v>未</x:v>
      </x:c>
      <x:c r="C10" s="12"/>
      <x:c r="D10" s="12" t="str">
        <x:f>'月次利益'!A7</x:f>
        <x:v>2026年06月</x:v>
      </x:c>
      <x:c r="E10" s="12" t="str">
        <x:f>'月次利益'!J7</x:f>
      </x:c>
      <x:c r="F10" s="12"/>
      <x:c r="G10" s="12"/>
      <x:c r="H10" s="12"/>
    </x:row>
    <x:row r="11">
      <x:c r="A11" s="12"/>
      <x:c r="B11" s="12"/>
      <x:c r="C11" s="12"/>
      <x:c r="D11" s="12" t="str">
        <x:f>'月次利益'!A8</x:f>
        <x:v>2026年07月</x:v>
      </x:c>
      <x:c r="E11" s="12" t="str">
        <x:f>'月次利益'!J8</x:f>
      </x:c>
      <x:c r="F11" s="12"/>
      <x:c r="G11" s="12"/>
      <x:c r="H11" s="12"/>
    </x:row>
    <x:row r="12">
      <x:c r="A12" s="11" t="str">
        <x:v>次に見ること</x:v>
      </x:c>
      <x:c r="B12" s="11" t="str"/>
      <x:c r="C12" s="11" t="str"/>
      <x:c r="D12" s="11" t="str">
        <x:f>'月次利益'!A9</x:f>
        <x:v>2026年08月</x:v>
      </x:c>
      <x:c r="E12" s="11" t="str">
        <x:f>'月次利益'!J9</x:f>
      </x:c>
      <x:c r="F12" s="11" t="str"/>
      <x:c r="G12" s="11" t="str"/>
      <x:c r="H12" s="11" t="str"/>
    </x:row>
    <x:row r="13">
      <x:c r="A13" s="12" t="str">
        <x:v>1</x:v>
      </x:c>
      <x:c r="B13" s="12" t="str">
        <x:v>データ取込状況で「未」「要確認」を見る</x:v>
      </x:c>
      <x:c r="C13" s="12" t="str"/>
      <x:c r="D13" s="12" t="str">
        <x:f>'月次利益'!A10</x:f>
        <x:v>2026年09月</x:v>
      </x:c>
      <x:c r="E13" s="12" t="str">
        <x:f>'月次利益'!J10</x:f>
      </x:c>
      <x:c r="F13" s="12" t="str"/>
      <x:c r="G13" s="12" t="str"/>
      <x:c r="H13" s="12" t="str"/>
    </x:row>
    <x:row r="14">
      <x:c r="A14" s="12" t="str">
        <x:v>2</x:v>
      </x:c>
      <x:c r="B14" s="12" t="str">
        <x:v>月次利益に売上・費用の月合計を入れる</x:v>
      </x:c>
      <x:c r="C14" s="12" t="str"/>
      <x:c r="D14" s="12" t="str">
        <x:f>'月次利益'!A11</x:f>
        <x:v>2026年10月</x:v>
      </x:c>
      <x:c r="E14" s="12" t="str">
        <x:f>'月次利益'!J11</x:f>
      </x:c>
      <x:c r="F14" s="12" t="str"/>
      <x:c r="G14" s="12" t="str"/>
      <x:c r="H14" s="12" t="str"/>
    </x:row>
    <x:row r="15">
      <x:c r="A15" s="12" t="str">
        <x:v>3</x:v>
      </x:c>
      <x:c r="B15" s="12" t="str">
        <x:v>要確認シートで迷子ファイルと不足データを確認する</x:v>
      </x:c>
      <x:c r="C15" s="12" t="str"/>
      <x:c r="D15" s="12" t="str">
        <x:f>'月次利益'!A12</x:f>
        <x:v>2026年11月</x:v>
      </x:c>
      <x:c r="E15" s="12" t="str">
        <x:f>'月次利益'!J12</x:f>
      </x:c>
      <x:c r="F15" s="12" t="str"/>
      <x:c r="G15" s="12" t="str"/>
      <x:c r="H15" s="12" t="str"/>
    </x:row>
    <x:row r="16">
      <x:c r="A16" s="12" t="str">
        <x:v>4</x:v>
      </x:c>
      <x:c r="B16" s="12" t="str">
        <x:v>固定費・サブスクを支出サブスクへ分類する</x:v>
      </x:c>
      <x:c r="C16" s="12" t="str"/>
      <x:c r="D16" s="12" t="str">
        <x:f>'月次利益'!A13</x:f>
        <x:v>2026年12月</x:v>
      </x:c>
      <x:c r="E16" s="12" t="n">
        <x:f>'月次利益'!J13</x:f>
        <x:v>0</x:v>
      </x:c>
      <x:c r="F16" s="12" t="str"/>
      <x:c r="G16" s="12" t="str"/>
      <x:c r="H16" s="12" t="str"/>
    </x:row>
    <x:row r="17">
      <x:c r="A17" s="12" t="str">
        <x:v>5</x:v>
      </x:c>
      <x:c r="B17" s="12" t="str">
        <x:v>商品カテゴリ別の採算を確認する</x:v>
      </x:c>
      <x:c r="C17" s="12" t="str"/>
      <x:c r="D17" s="12" t="str"/>
      <x:c r="E17" s="12" t="str"/>
      <x:c r="F17" s="12" t="str"/>
      <x:c r="G17" s="12" t="str"/>
      <x:c r="H17" s="12" t="str"/>
    </x:row>
  </x:sheetData>
  <x:mergeCells>
    <x:mergeCell ref="A1:H1"/>
    <x:mergeCell ref="A12:H12"/>
  </x:mergeCells>
  <x:pageMargins left="0.7" right="0.7" top="0.75" bottom="0.75" header="0.3" footer="0.3"/>
  <x:drawing xmlns:r="http://schemas.openxmlformats.org/officeDocument/2006/relationships" r:id="R43bc4a31d5cc49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3.440000057220459" hidden="0" customWidth="1"/>
    <x:col min="3" max="3" width="6.440000057220459" hidden="0" customWidth="1"/>
    <x:col min="4" max="4" width="7" hidden="0" customWidth="1"/>
    <x:col min="5" max="5" width="3.440000057220459" hidden="0" customWidth="1"/>
    <x:col min="6" max="6" width="3.440000057220459" hidden="0" customWidth="1"/>
    <x:col min="7" max="7" width="5" hidden="0" customWidth="1"/>
    <x:col min="8" max="8" width="5" hidden="0" customWidth="1"/>
    <x:col min="9" max="9" width="3.440000057220459" hidden="0" customWidth="1"/>
    <x:col min="10" max="10" width="6.440000057220459" hidden="0" customWidth="1"/>
    <x:col min="11" max="11" width="5" hidden="0" customWidth="1"/>
    <x:col min="12" max="12" width="3.440000057220459" hidden="0" customWidth="1"/>
  </x:cols>
  <x:sheetData>
    <x:row r="1">
      <x:c r="A1" s="11" t="str">
        <x:v>月</x:v>
      </x:c>
      <x:c r="B1" s="11" t="str">
        <x:v>売上</x:v>
      </x:c>
      <x:c r="C1" s="11" t="str">
        <x:v>仕入原価</x:v>
      </x:c>
      <x:c r="D1" s="11" t="str">
        <x:v>eBay費用</x:v>
      </x:c>
      <x:c r="E1" s="11" t="str">
        <x:v>送料</x:v>
      </x:c>
      <x:c r="F1" s="11" t="str">
        <x:v>関税</x:v>
      </x:c>
      <x:c r="G1" s="11" t="str">
        <x:v>外注費</x:v>
      </x:c>
      <x:c r="H1" s="11" t="str">
        <x:v>固定費</x:v>
      </x:c>
      <x:c r="I1" s="11" t="str">
        <x:v>調整</x:v>
      </x:c>
      <x:c r="J1" s="11" t="str">
        <x:v>実質利益</x:v>
      </x:c>
      <x:c r="K1" s="11" t="str">
        <x:v>利益率</x:v>
      </x:c>
      <x:c r="L1" s="11" t="str">
        <x:v>状態</x:v>
      </x:c>
    </x:row>
    <x:row r="2">
      <x:c r="A2" s="12" t="str">
        <x:v>2026年01月</x:v>
      </x:c>
      <x:c r="B2" s="15"/>
      <x:c r="C2" s="15"/>
      <x:c r="D2" s="15"/>
      <x:c r="E2" s="15"/>
      <x:c r="F2" s="15"/>
      <x:c r="G2" s="15"/>
      <x:c r="H2" s="15"/>
      <x:c r="I2" s="15"/>
      <x:c r="J2" s="15" t="str">
        <x:f>IF(B2="","",B2-C2-D2-E2-F2-G2-H2+I2)</x:f>
      </x:c>
      <x:c r="K2" s="16" t="str">
        <x:f>IFERROR(J2/B2,"")</x:f>
      </x:c>
      <x:c r="L2" s="12" t="str">
        <x:f>IF(B2="","未",IF(COUNTBLANK(C2:H2)&gt;0,"要確認","締め可"))</x:f>
        <x:v>未</x:v>
      </x:c>
    </x:row>
    <x:row r="3">
      <x:c r="A3" s="12" t="str">
        <x:v>2026年02月</x:v>
      </x:c>
      <x:c r="B3" s="15"/>
      <x:c r="C3" s="15"/>
      <x:c r="D3" s="15"/>
      <x:c r="E3" s="15"/>
      <x:c r="F3" s="15"/>
      <x:c r="G3" s="15"/>
      <x:c r="H3" s="15"/>
      <x:c r="I3" s="15"/>
      <x:c r="J3" s="15" t="str">
        <x:f>IF(B3="","",B3-C3-D3-E3-F3-G3-H3+I3)</x:f>
      </x:c>
      <x:c r="K3" s="16" t="str">
        <x:f>IFERROR(J3/B3,"")</x:f>
      </x:c>
      <x:c r="L3" s="12" t="str">
        <x:f>IF(B3="","未",IF(COUNTBLANK(C3:H3)&gt;0,"要確認","締め可"))</x:f>
        <x:v>未</x:v>
      </x:c>
    </x:row>
    <x:row r="4">
      <x:c r="A4" s="12" t="str">
        <x:v>2026年03月</x:v>
      </x:c>
      <x:c r="B4" s="15"/>
      <x:c r="C4" s="15"/>
      <x:c r="D4" s="15"/>
      <x:c r="E4" s="15"/>
      <x:c r="F4" s="15"/>
      <x:c r="G4" s="15"/>
      <x:c r="H4" s="15"/>
      <x:c r="I4" s="15"/>
      <x:c r="J4" s="15" t="str">
        <x:f>IF(B4="","",B4-C4-D4-E4-F4-G4-H4+I4)</x:f>
      </x:c>
      <x:c r="K4" s="16" t="str">
        <x:f>IFERROR(J4/B4,"")</x:f>
      </x:c>
      <x:c r="L4" s="12" t="str">
        <x:f>IF(B4="","未",IF(COUNTBLANK(C4:H4)&gt;0,"要確認","締め可"))</x:f>
        <x:v>未</x:v>
      </x:c>
    </x:row>
    <x:row r="5">
      <x:c r="A5" s="12" t="str">
        <x:v>2026年04月</x:v>
      </x:c>
      <x:c r="B5" s="15"/>
      <x:c r="C5" s="15"/>
      <x:c r="D5" s="15"/>
      <x:c r="E5" s="15"/>
      <x:c r="F5" s="15"/>
      <x:c r="G5" s="15"/>
      <x:c r="H5" s="15"/>
      <x:c r="I5" s="15"/>
      <x:c r="J5" s="15" t="str">
        <x:f>IF(B5="","",B5-C5-D5-E5-F5-G5-H5+I5)</x:f>
      </x:c>
      <x:c r="K5" s="16" t="str">
        <x:f>IFERROR(J5/B5,"")</x:f>
      </x:c>
      <x:c r="L5" s="12" t="str">
        <x:f>IF(B5="","未",IF(COUNTBLANK(C5:H5)&gt;0,"要確認","締め可"))</x:f>
        <x:v>未</x:v>
      </x:c>
    </x:row>
    <x:row r="6">
      <x:c r="A6" s="12" t="str">
        <x:v>2026年05月</x:v>
      </x:c>
      <x:c r="B6" s="15"/>
      <x:c r="C6" s="15"/>
      <x:c r="D6" s="15"/>
      <x:c r="E6" s="15"/>
      <x:c r="F6" s="15"/>
      <x:c r="G6" s="15"/>
      <x:c r="H6" s="15"/>
      <x:c r="I6" s="15"/>
      <x:c r="J6" s="15" t="str">
        <x:f>IF(B6="","",B6-C6-D6-E6-F6-G6-H6+I6)</x:f>
      </x:c>
      <x:c r="K6" s="16" t="str">
        <x:f>IFERROR(J6/B6,"")</x:f>
      </x:c>
      <x:c r="L6" s="12" t="str">
        <x:f>IF(B6="","未",IF(COUNTBLANK(C6:H6)&gt;0,"要確認","締め可"))</x:f>
        <x:v>未</x:v>
      </x:c>
    </x:row>
    <x:row r="7">
      <x:c r="A7" s="12" t="str">
        <x:v>2026年06月</x:v>
      </x:c>
      <x:c r="B7" s="15"/>
      <x:c r="C7" s="15"/>
      <x:c r="D7" s="15"/>
      <x:c r="E7" s="15"/>
      <x:c r="F7" s="15"/>
      <x:c r="G7" s="15"/>
      <x:c r="H7" s="15"/>
      <x:c r="I7" s="15"/>
      <x:c r="J7" s="15" t="str">
        <x:f>IF(B7="","",B7-C7-D7-E7-F7-G7-H7+I7)</x:f>
      </x:c>
      <x:c r="K7" s="16" t="str">
        <x:f>IFERROR(J7/B7,"")</x:f>
      </x:c>
      <x:c r="L7" s="12" t="str">
        <x:f>IF(B7="","未",IF(COUNTBLANK(C7:H7)&gt;0,"要確認","締め可"))</x:f>
        <x:v>未</x:v>
      </x:c>
    </x:row>
    <x:row r="8">
      <x:c r="A8" s="12" t="str">
        <x:v>2026年07月</x:v>
      </x:c>
      <x:c r="B8" s="15"/>
      <x:c r="C8" s="15"/>
      <x:c r="D8" s="15"/>
      <x:c r="E8" s="15"/>
      <x:c r="F8" s="15"/>
      <x:c r="G8" s="15"/>
      <x:c r="H8" s="15"/>
      <x:c r="I8" s="15"/>
      <x:c r="J8" s="15" t="str">
        <x:f>IF(B8="","",B8-C8-D8-E8-F8-G8-H8+I8)</x:f>
      </x:c>
      <x:c r="K8" s="16" t="str">
        <x:f>IFERROR(J8/B8,"")</x:f>
      </x:c>
      <x:c r="L8" s="12" t="str">
        <x:f>IF(B8="","未",IF(COUNTBLANK(C8:H8)&gt;0,"要確認","締め可"))</x:f>
        <x:v>未</x:v>
      </x:c>
    </x:row>
    <x:row r="9">
      <x:c r="A9" s="12" t="str">
        <x:v>2026年08月</x:v>
      </x:c>
      <x:c r="B9" s="15"/>
      <x:c r="C9" s="15"/>
      <x:c r="D9" s="15"/>
      <x:c r="E9" s="15"/>
      <x:c r="F9" s="15"/>
      <x:c r="G9" s="15"/>
      <x:c r="H9" s="15"/>
      <x:c r="I9" s="15"/>
      <x:c r="J9" s="15" t="str">
        <x:f>IF(B9="","",B9-C9-D9-E9-F9-G9-H9+I9)</x:f>
      </x:c>
      <x:c r="K9" s="16" t="str">
        <x:f>IFERROR(J9/B9,"")</x:f>
      </x:c>
      <x:c r="L9" s="12" t="str">
        <x:f>IF(B9="","未",IF(COUNTBLANK(C9:H9)&gt;0,"要確認","締め可"))</x:f>
        <x:v>未</x:v>
      </x:c>
    </x:row>
    <x:row r="10">
      <x:c r="A10" s="12" t="str">
        <x:v>2026年09月</x:v>
      </x:c>
      <x:c r="B10" s="15"/>
      <x:c r="C10" s="15"/>
      <x:c r="D10" s="15"/>
      <x:c r="E10" s="15"/>
      <x:c r="F10" s="15"/>
      <x:c r="G10" s="15"/>
      <x:c r="H10" s="15"/>
      <x:c r="I10" s="15"/>
      <x:c r="J10" s="15" t="str">
        <x:f>IF(B10="","",B10-C10-D10-E10-F10-G10-H10+I10)</x:f>
      </x:c>
      <x:c r="K10" s="16" t="str">
        <x:f>IFERROR(J10/B10,"")</x:f>
      </x:c>
      <x:c r="L10" s="12" t="str">
        <x:f>IF(B10="","未",IF(COUNTBLANK(C10:H10)&gt;0,"要確認","締め可"))</x:f>
        <x:v>未</x:v>
      </x:c>
    </x:row>
    <x:row r="11">
      <x:c r="A11" s="12" t="str">
        <x:v>2026年10月</x:v>
      </x:c>
      <x:c r="B11" s="15"/>
      <x:c r="C11" s="15"/>
      <x:c r="D11" s="15"/>
      <x:c r="E11" s="15"/>
      <x:c r="F11" s="15"/>
      <x:c r="G11" s="15"/>
      <x:c r="H11" s="15"/>
      <x:c r="I11" s="15"/>
      <x:c r="J11" s="15" t="str">
        <x:f>IF(B11="","",B11-C11-D11-E11-F11-G11-H11+I11)</x:f>
      </x:c>
      <x:c r="K11" s="16" t="str">
        <x:f>IFERROR(J11/B11,"")</x:f>
      </x:c>
      <x:c r="L11" s="12" t="str">
        <x:f>IF(B11="","未",IF(COUNTBLANK(C11:H11)&gt;0,"要確認","締め可"))</x:f>
        <x:v>未</x:v>
      </x:c>
    </x:row>
    <x:row r="12">
      <x:c r="A12" s="12" t="str">
        <x:v>2026年11月</x:v>
      </x:c>
      <x:c r="B12" s="15"/>
      <x:c r="C12" s="15"/>
      <x:c r="D12" s="15"/>
      <x:c r="E12" s="15"/>
      <x:c r="F12" s="15"/>
      <x:c r="G12" s="15"/>
      <x:c r="H12" s="15"/>
      <x:c r="I12" s="15"/>
      <x:c r="J12" s="15" t="str">
        <x:f>IF(B12="","",B12-C12-D12-E12-F12-G12-H12+I12)</x:f>
      </x:c>
      <x:c r="K12" s="16" t="str">
        <x:f>IFERROR(J12/B12,"")</x:f>
      </x:c>
      <x:c r="L12" s="12" t="str">
        <x:f>IF(B12="","未",IF(COUNTBLANK(C12:H12)&gt;0,"要確認","締め可"))</x:f>
        <x:v>未</x:v>
      </x:c>
    </x:row>
    <x:row r="13">
      <x:c r="A13" s="12" t="str">
        <x:v>2026年12月</x:v>
      </x:c>
      <x:c r="B13" s="15"/>
      <x:c r="C13" s="15"/>
      <x:c r="D13" s="15"/>
      <x:c r="E13" s="15"/>
      <x:c r="F13" s="15"/>
      <x:c r="G13" s="15"/>
      <x:c r="H13" s="15"/>
      <x:c r="I13" s="15"/>
      <x:c r="J13" s="15" t="str">
        <x:f>IF(B13="","",B13-C13-D13-E13-F13-G13-H13+I13)</x:f>
      </x:c>
      <x:c r="K13" s="16" t="str">
        <x:f>IFERROR(J13/B13,"")</x:f>
      </x:c>
      <x:c r="L13" s="12" t="str">
        <x:f>IF(B13="","未",IF(COUNTBLANK(C13:H13)&gt;0,"要確認","締め可"))</x:f>
        <x:v>未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7" hidden="0" customWidth="1"/>
    <x:col min="3" max="3" width="5" hidden="0" customWidth="1"/>
    <x:col min="4" max="4" width="11.4399995803833" hidden="0" customWidth="1"/>
    <x:col min="5" max="5" width="5" hidden="0" customWidth="1"/>
    <x:col min="6" max="6" width="5" hidden="0" customWidth="1"/>
    <x:col min="7" max="7" width="7.889999866485596" hidden="0" customWidth="1"/>
    <x:col min="8" max="8" width="5" hidden="0" customWidth="1"/>
    <x:col min="9" max="9" width="6.440000057220459" hidden="0" customWidth="1"/>
    <x:col min="10" max="10" width="6.440000057220459" hidden="0" customWidth="1"/>
  </x:cols>
  <x:sheetData>
    <x:row r="1">
      <x:c r="A1" s="11" t="str">
        <x:v>月</x:v>
      </x:c>
      <x:c r="B1" s="11" t="str">
        <x:v>eBay売上</x:v>
      </x:c>
      <x:c r="C1" s="11" t="str">
        <x:v>円換算</x:v>
      </x:c>
      <x:c r="D1" s="11" t="str">
        <x:v>eBayインボイス</x:v>
      </x:c>
      <x:c r="E1" s="11" t="str">
        <x:v>請求書</x:v>
      </x:c>
      <x:c r="F1" s="11" t="str">
        <x:v>領収書</x:v>
      </x:c>
      <x:c r="G1" s="11" t="str">
        <x:v>メルカード</x:v>
      </x:c>
      <x:c r="H1" s="11" t="str">
        <x:v>外注費</x:v>
      </x:c>
      <x:c r="I1" s="11" t="str">
        <x:v>在庫ログ</x:v>
      </x:c>
      <x:c r="J1" s="11" t="str">
        <x:v>締め状態</x:v>
      </x:c>
    </x:row>
    <x:row r="2">
      <x:c r="A2" s="12" t="str">
        <x:v>2026年01月</x:v>
      </x:c>
      <x:c r="B2" s="12" t="str">
        <x:v>未</x:v>
      </x:c>
      <x:c r="C2" s="12" t="str">
        <x:v>未</x:v>
      </x:c>
      <x:c r="D2" s="12" t="str">
        <x:v>未</x:v>
      </x:c>
      <x:c r="E2" s="12" t="str">
        <x:v>未</x:v>
      </x:c>
      <x:c r="F2" s="12" t="str">
        <x:v>未</x:v>
      </x:c>
      <x:c r="G2" s="12" t="str">
        <x:v>未</x:v>
      </x:c>
      <x:c r="H2" s="12" t="str">
        <x:v>未</x:v>
      </x:c>
      <x:c r="I2" s="12" t="str">
        <x:v>未</x:v>
      </x:c>
      <x:c r="J2" s="12" t="str">
        <x:v>未</x:v>
      </x:c>
    </x:row>
    <x:row r="3">
      <x:c r="A3" s="12" t="str">
        <x:v>2026年02月</x:v>
      </x:c>
      <x:c r="B3" s="12" t="str">
        <x:v>未</x:v>
      </x:c>
      <x:c r="C3" s="12" t="str">
        <x:v>未</x:v>
      </x:c>
      <x:c r="D3" s="12" t="str">
        <x:v>未</x:v>
      </x:c>
      <x:c r="E3" s="12" t="str">
        <x:v>未</x:v>
      </x:c>
      <x:c r="F3" s="12" t="str">
        <x:v>未</x:v>
      </x:c>
      <x:c r="G3" s="12" t="str">
        <x:v>未</x:v>
      </x:c>
      <x:c r="H3" s="12" t="str">
        <x:v>未</x:v>
      </x:c>
      <x:c r="I3" s="12" t="str">
        <x:v>未</x:v>
      </x:c>
      <x:c r="J3" s="12" t="str">
        <x:v>未</x:v>
      </x:c>
    </x:row>
    <x:row r="4">
      <x:c r="A4" s="12" t="str">
        <x:v>2026年03月</x:v>
      </x:c>
      <x:c r="B4" s="12" t="str">
        <x:v>未</x:v>
      </x:c>
      <x:c r="C4" s="12" t="str">
        <x:v>未</x:v>
      </x:c>
      <x:c r="D4" s="12" t="str">
        <x:v>未</x:v>
      </x:c>
      <x:c r="E4" s="12" t="str">
        <x:v>未</x:v>
      </x:c>
      <x:c r="F4" s="12" t="str">
        <x:v>未</x:v>
      </x:c>
      <x:c r="G4" s="12" t="str">
        <x:v>未</x:v>
      </x:c>
      <x:c r="H4" s="12" t="str">
        <x:v>未</x:v>
      </x:c>
      <x:c r="I4" s="12" t="str">
        <x:v>未</x:v>
      </x:c>
      <x:c r="J4" s="12" t="str">
        <x:v>未</x:v>
      </x:c>
    </x:row>
    <x:row r="5">
      <x:c r="A5" s="12" t="str">
        <x:v>2026年04月</x:v>
      </x:c>
      <x:c r="B5" s="12" t="str">
        <x:v>未</x:v>
      </x:c>
      <x:c r="C5" s="12" t="str">
        <x:v>未</x:v>
      </x:c>
      <x:c r="D5" s="12" t="str">
        <x:v>未</x:v>
      </x:c>
      <x:c r="E5" s="12" t="str">
        <x:v>未</x:v>
      </x:c>
      <x:c r="F5" s="12" t="str">
        <x:v>未</x:v>
      </x:c>
      <x:c r="G5" s="12" t="str">
        <x:v>未</x:v>
      </x:c>
      <x:c r="H5" s="12" t="str">
        <x:v>未</x:v>
      </x:c>
      <x:c r="I5" s="12" t="str">
        <x:v>未</x:v>
      </x:c>
      <x:c r="J5" s="12" t="str">
        <x:v>未</x:v>
      </x:c>
    </x:row>
    <x:row r="6">
      <x:c r="A6" s="12" t="str">
        <x:v>2026年05月</x:v>
      </x:c>
      <x:c r="B6" s="12" t="str">
        <x:v>未</x:v>
      </x:c>
      <x:c r="C6" s="12" t="str">
        <x:v>未</x:v>
      </x:c>
      <x:c r="D6" s="12" t="str">
        <x:v>未</x:v>
      </x:c>
      <x:c r="E6" s="12" t="str">
        <x:v>未</x:v>
      </x:c>
      <x:c r="F6" s="12" t="str">
        <x:v>未</x:v>
      </x:c>
      <x:c r="G6" s="12" t="str">
        <x:v>未</x:v>
      </x:c>
      <x:c r="H6" s="12" t="str">
        <x:v>未</x:v>
      </x:c>
      <x:c r="I6" s="12" t="str">
        <x:v>未</x:v>
      </x:c>
      <x:c r="J6" s="12" t="str">
        <x:v>未</x:v>
      </x:c>
    </x:row>
    <x:row r="7">
      <x:c r="A7" s="12" t="str">
        <x:v>2026年06月</x:v>
      </x:c>
      <x:c r="B7" s="12" t="str">
        <x:v>未</x:v>
      </x:c>
      <x:c r="C7" s="12" t="str">
        <x:v>未</x:v>
      </x:c>
      <x:c r="D7" s="12" t="str">
        <x:v>未</x:v>
      </x:c>
      <x:c r="E7" s="12" t="str">
        <x:v>未</x:v>
      </x:c>
      <x:c r="F7" s="12" t="str">
        <x:v>未</x:v>
      </x:c>
      <x:c r="G7" s="12" t="str">
        <x:v>未</x:v>
      </x:c>
      <x:c r="H7" s="12" t="str">
        <x:v>未</x:v>
      </x:c>
      <x:c r="I7" s="12" t="str">
        <x:v>未</x:v>
      </x:c>
      <x:c r="J7" s="12" t="str">
        <x:v>未</x:v>
      </x:c>
    </x:row>
    <x:row r="8">
      <x:c r="A8" s="12" t="str">
        <x:v>2026年07月</x:v>
      </x:c>
      <x:c r="B8" s="12" t="str">
        <x:v>未</x:v>
      </x:c>
      <x:c r="C8" s="12" t="str">
        <x:v>未</x:v>
      </x:c>
      <x:c r="D8" s="12" t="str">
        <x:v>未</x:v>
      </x:c>
      <x:c r="E8" s="12" t="str">
        <x:v>未</x:v>
      </x:c>
      <x:c r="F8" s="12" t="str">
        <x:v>未</x:v>
      </x:c>
      <x:c r="G8" s="12" t="str">
        <x:v>未</x:v>
      </x:c>
      <x:c r="H8" s="12" t="str">
        <x:v>未</x:v>
      </x:c>
      <x:c r="I8" s="12" t="str">
        <x:v>未</x:v>
      </x:c>
      <x:c r="J8" s="12" t="str">
        <x:v>未</x:v>
      </x:c>
    </x:row>
    <x:row r="9">
      <x:c r="A9" s="12" t="str">
        <x:v>2026年08月</x:v>
      </x:c>
      <x:c r="B9" s="12" t="str">
        <x:v>未</x:v>
      </x:c>
      <x:c r="C9" s="12" t="str">
        <x:v>未</x:v>
      </x:c>
      <x:c r="D9" s="12" t="str">
        <x:v>未</x:v>
      </x:c>
      <x:c r="E9" s="12" t="str">
        <x:v>未</x:v>
      </x:c>
      <x:c r="F9" s="12" t="str">
        <x:v>未</x:v>
      </x:c>
      <x:c r="G9" s="12" t="str">
        <x:v>未</x:v>
      </x:c>
      <x:c r="H9" s="12" t="str">
        <x:v>未</x:v>
      </x:c>
      <x:c r="I9" s="12" t="str">
        <x:v>未</x:v>
      </x:c>
      <x:c r="J9" s="12" t="str">
        <x:v>未</x:v>
      </x:c>
    </x:row>
    <x:row r="10">
      <x:c r="A10" s="12" t="str">
        <x:v>2026年09月</x:v>
      </x:c>
      <x:c r="B10" s="12" t="str">
        <x:v>未</x:v>
      </x:c>
      <x:c r="C10" s="12" t="str">
        <x:v>未</x:v>
      </x:c>
      <x:c r="D10" s="12" t="str">
        <x:v>未</x:v>
      </x:c>
      <x:c r="E10" s="12" t="str">
        <x:v>未</x:v>
      </x:c>
      <x:c r="F10" s="12" t="str">
        <x:v>未</x:v>
      </x:c>
      <x:c r="G10" s="12" t="str">
        <x:v>未</x:v>
      </x:c>
      <x:c r="H10" s="12" t="str">
        <x:v>未</x:v>
      </x:c>
      <x:c r="I10" s="12" t="str">
        <x:v>未</x:v>
      </x:c>
      <x:c r="J10" s="12" t="str">
        <x:v>未</x:v>
      </x:c>
    </x:row>
    <x:row r="11">
      <x:c r="A11" s="12" t="str">
        <x:v>2026年10月</x:v>
      </x:c>
      <x:c r="B11" s="12" t="str">
        <x:v>未</x:v>
      </x:c>
      <x:c r="C11" s="12" t="str">
        <x:v>未</x:v>
      </x:c>
      <x:c r="D11" s="12" t="str">
        <x:v>未</x:v>
      </x:c>
      <x:c r="E11" s="12" t="str">
        <x:v>未</x:v>
      </x:c>
      <x:c r="F11" s="12" t="str">
        <x:v>未</x:v>
      </x:c>
      <x:c r="G11" s="12" t="str">
        <x:v>未</x:v>
      </x:c>
      <x:c r="H11" s="12" t="str">
        <x:v>未</x:v>
      </x:c>
      <x:c r="I11" s="12" t="str">
        <x:v>未</x:v>
      </x:c>
      <x:c r="J11" s="12" t="str">
        <x:v>未</x:v>
      </x:c>
    </x:row>
    <x:row r="12">
      <x:c r="A12" s="12" t="str">
        <x:v>2026年11月</x:v>
      </x:c>
      <x:c r="B12" s="12" t="str">
        <x:v>未</x:v>
      </x:c>
      <x:c r="C12" s="12" t="str">
        <x:v>未</x:v>
      </x:c>
      <x:c r="D12" s="12" t="str">
        <x:v>未</x:v>
      </x:c>
      <x:c r="E12" s="12" t="str">
        <x:v>未</x:v>
      </x:c>
      <x:c r="F12" s="12" t="str">
        <x:v>未</x:v>
      </x:c>
      <x:c r="G12" s="12" t="str">
        <x:v>未</x:v>
      </x:c>
      <x:c r="H12" s="12" t="str">
        <x:v>未</x:v>
      </x:c>
      <x:c r="I12" s="12" t="str">
        <x:v>未</x:v>
      </x:c>
      <x:c r="J12" s="12" t="str">
        <x:v>未</x:v>
      </x:c>
    </x:row>
    <x:row r="13">
      <x:c r="A13" s="12" t="str">
        <x:v>2026年12月</x:v>
      </x:c>
      <x:c r="B13" s="12" t="str">
        <x:v>未</x:v>
      </x:c>
      <x:c r="C13" s="12" t="str">
        <x:v>未</x:v>
      </x:c>
      <x:c r="D13" s="12" t="str">
        <x:v>未</x:v>
      </x:c>
      <x:c r="E13" s="12" t="str">
        <x:v>未</x:v>
      </x:c>
      <x:c r="F13" s="12" t="str">
        <x:v>未</x:v>
      </x:c>
      <x:c r="G13" s="12" t="str">
        <x:v>未</x:v>
      </x:c>
      <x:c r="H13" s="12" t="str">
        <x:v>未</x:v>
      </x:c>
      <x:c r="I13" s="12" t="str">
        <x:v>未</x:v>
      </x:c>
      <x:c r="J13" s="12" t="str">
        <x:v>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7.889999866485596" hidden="0" customWidth="1"/>
    <x:col min="3" max="3" width="3.440000057220459" hidden="0" customWidth="1"/>
    <x:col min="4" max="4" width="3.440000057220459" hidden="0" customWidth="1"/>
    <x:col min="5" max="5" width="6.889999866485596" hidden="0" customWidth="1"/>
    <x:col min="6" max="6" width="6.440000057220459" hidden="0" customWidth="1"/>
    <x:col min="7" max="7" width="3.440000057220459" hidden="0" customWidth="1"/>
    <x:col min="8" max="8" width="6.440000057220459" hidden="0" customWidth="1"/>
  </x:cols>
  <x:sheetData>
    <x:row r="1">
      <x:c r="A1" s="11" t="str">
        <x:v>支払月</x:v>
      </x:c>
      <x:c r="B1" s="11" t="str">
        <x:v>支払先分類</x:v>
      </x:c>
      <x:c r="C1" s="11" t="str">
        <x:v>金額</x:v>
      </x:c>
      <x:c r="D1" s="11" t="str">
        <x:v>区分</x:v>
      </x:c>
      <x:c r="E1" s="11" t="str">
        <x:v>継続/単発</x:v>
      </x:c>
      <x:c r="F1" s="11" t="str">
        <x:v>削減候補</x:v>
      </x:c>
      <x:c r="G1" s="11" t="str">
        <x:v>根拠</x:v>
      </x:c>
      <x:c r="H1" s="11" t="str">
        <x:v>確認事項</x:v>
      </x:c>
    </x:row>
    <x:row r="2">
      <x:c r="A2" s="12" t="str"/>
      <x:c r="B2" s="12" t="str"/>
      <x:c r="C2" s="15" t="str"/>
      <x:c r="D2" s="12" t="str"/>
      <x:c r="E2" s="12" t="str"/>
      <x:c r="F2" s="12" t="str"/>
      <x:c r="G2" s="12" t="str"/>
      <x:c r="H2" s="12" t="str"/>
    </x:row>
    <x:row r="3">
      <x:c r="A3" s="12" t="str"/>
      <x:c r="B3" s="12" t="str"/>
      <x:c r="C3" s="15" t="str"/>
      <x:c r="D3" s="12" t="str"/>
      <x:c r="E3" s="12" t="str"/>
      <x:c r="F3" s="12" t="str"/>
      <x:c r="G3" s="12" t="str"/>
      <x:c r="H3" s="12" t="str"/>
    </x:row>
    <x:row r="4">
      <x:c r="A4" s="12" t="str"/>
      <x:c r="B4" s="12" t="str"/>
      <x:c r="C4" s="15" t="str"/>
      <x:c r="D4" s="12" t="str"/>
      <x:c r="E4" s="12" t="str"/>
      <x:c r="F4" s="12" t="str"/>
      <x:c r="G4" s="12" t="str"/>
      <x:c r="H4" s="12" t="str"/>
    </x:row>
    <x:row r="5">
      <x:c r="A5" s="12" t="str"/>
      <x:c r="B5" s="12" t="str"/>
      <x:c r="C5" s="15" t="str"/>
      <x:c r="D5" s="12" t="str"/>
      <x:c r="E5" s="12" t="str"/>
      <x:c r="F5" s="12" t="str"/>
      <x:c r="G5" s="12" t="str"/>
      <x:c r="H5" s="12" t="str"/>
    </x:row>
    <x:row r="6">
      <x:c r="A6" s="12" t="str"/>
      <x:c r="B6" s="12" t="str"/>
      <x:c r="C6" s="15" t="str"/>
      <x:c r="D6" s="12" t="str"/>
      <x:c r="E6" s="12" t="str"/>
      <x:c r="F6" s="12" t="str"/>
      <x:c r="G6" s="12" t="str"/>
      <x:c r="H6" s="12" t="str"/>
    </x:row>
    <x:row r="7">
      <x:c r="A7" s="12" t="str"/>
      <x:c r="B7" s="12" t="str"/>
      <x:c r="C7" s="15" t="str"/>
      <x:c r="D7" s="12" t="str"/>
      <x:c r="E7" s="12" t="str"/>
      <x:c r="F7" s="12" t="str"/>
      <x:c r="G7" s="12" t="str"/>
      <x:c r="H7" s="12" t="str"/>
    </x:row>
    <x:row r="8">
      <x:c r="A8" s="12" t="str"/>
      <x:c r="B8" s="12" t="str"/>
      <x:c r="C8" s="15" t="str"/>
      <x:c r="D8" s="12" t="str"/>
      <x:c r="E8" s="12" t="str"/>
      <x:c r="F8" s="12" t="str"/>
      <x:c r="G8" s="12" t="str"/>
      <x:c r="H8" s="12" t="str"/>
    </x:row>
    <x:row r="9">
      <x:c r="A9" s="12" t="str"/>
      <x:c r="B9" s="12" t="str"/>
      <x:c r="C9" s="15" t="str"/>
      <x:c r="D9" s="12" t="str"/>
      <x:c r="E9" s="12" t="str"/>
      <x:c r="F9" s="12" t="str"/>
      <x:c r="G9" s="12" t="str"/>
      <x:c r="H9" s="12" t="str"/>
    </x:row>
    <x:row r="10">
      <x:c r="A10" s="12" t="str"/>
      <x:c r="B10" s="12" t="str"/>
      <x:c r="C10" s="15" t="str"/>
      <x:c r="D10" s="12" t="str"/>
      <x:c r="E10" s="12" t="str"/>
      <x:c r="F10" s="12" t="str"/>
      <x:c r="G10" s="12" t="str"/>
      <x:c r="H10" s="12" t="str"/>
    </x:row>
    <x:row r="11">
      <x:c r="A11" s="12" t="str"/>
      <x:c r="B11" s="12" t="str"/>
      <x:c r="C11" s="15" t="str"/>
      <x:c r="D11" s="12" t="str"/>
      <x:c r="E11" s="12" t="str"/>
      <x:c r="F11" s="12" t="str"/>
      <x:c r="G11" s="12" t="str"/>
      <x:c r="H11" s="12" t="str"/>
    </x:row>
    <x:row r="12">
      <x:c r="A12" s="12" t="str"/>
      <x:c r="B12" s="12" t="str"/>
      <x:c r="C12" s="15" t="str"/>
      <x:c r="D12" s="12" t="str"/>
      <x:c r="E12" s="12" t="str"/>
      <x:c r="F12" s="12" t="str"/>
      <x:c r="G12" s="12" t="str"/>
      <x:c r="H12" s="12" t="str"/>
    </x:row>
    <x:row r="13">
      <x:c r="A13" s="12" t="str"/>
      <x:c r="B13" s="12" t="str"/>
      <x:c r="C13" s="15" t="str"/>
      <x:c r="D13" s="12" t="str"/>
      <x:c r="E13" s="12" t="str"/>
      <x:c r="F13" s="12" t="str"/>
      <x:c r="G13" s="12" t="str"/>
      <x:c r="H13" s="12" t="str"/>
    </x:row>
    <x:row r="14">
      <x:c r="A14" s="12" t="str"/>
      <x:c r="B14" s="12" t="str"/>
      <x:c r="C14" s="15" t="str"/>
      <x:c r="D14" s="12" t="str"/>
      <x:c r="E14" s="12" t="str"/>
      <x:c r="F14" s="12" t="str"/>
      <x:c r="G14" s="12" t="str"/>
      <x:c r="H14" s="12" t="str"/>
    </x:row>
    <x:row r="15">
      <x:c r="A15" s="12" t="str"/>
      <x:c r="B15" s="12" t="str"/>
      <x:c r="C15" s="15" t="str"/>
      <x:c r="D15" s="12" t="str"/>
      <x:c r="E15" s="12" t="str"/>
      <x:c r="F15" s="12" t="str"/>
      <x:c r="G15" s="12" t="str"/>
      <x:c r="H15" s="12" t="str"/>
    </x:row>
    <x:row r="16">
      <x:c r="A16" s="12" t="str"/>
      <x:c r="B16" s="12" t="str"/>
      <x:c r="C16" s="15" t="str"/>
      <x:c r="D16" s="12" t="str"/>
      <x:c r="E16" s="12" t="str"/>
      <x:c r="F16" s="12" t="str"/>
      <x:c r="G16" s="12" t="str"/>
      <x:c r="H16" s="12" t="str"/>
    </x:row>
    <x:row r="17">
      <x:c r="A17" s="12" t="str"/>
      <x:c r="B17" s="12" t="str"/>
      <x:c r="C17" s="15" t="str"/>
      <x:c r="D17" s="12" t="str"/>
      <x:c r="E17" s="12" t="str"/>
      <x:c r="F17" s="12" t="str"/>
      <x:c r="G17" s="12" t="str"/>
      <x:c r="H17" s="12" t="str"/>
    </x:row>
    <x:row r="18">
      <x:c r="A18" s="12" t="str"/>
      <x:c r="B18" s="12" t="str"/>
      <x:c r="C18" s="15" t="str"/>
      <x:c r="D18" s="12" t="str"/>
      <x:c r="E18" s="12" t="str"/>
      <x:c r="F18" s="12" t="str"/>
      <x:c r="G18" s="12" t="str"/>
      <x:c r="H18" s="12" t="str"/>
    </x:row>
    <x:row r="19">
      <x:c r="A19" s="12" t="str"/>
      <x:c r="B19" s="12" t="str"/>
      <x:c r="C19" s="15" t="str"/>
      <x:c r="D19" s="12" t="str"/>
      <x:c r="E19" s="12" t="str"/>
      <x:c r="F19" s="12" t="str"/>
      <x:c r="G19" s="12" t="str"/>
      <x:c r="H19" s="12" t="str"/>
    </x:row>
    <x:row r="20">
      <x:c r="A20" s="12" t="str"/>
      <x:c r="B20" s="12" t="str"/>
      <x:c r="C20" s="15" t="str"/>
      <x:c r="D20" s="12" t="str"/>
      <x:c r="E20" s="12" t="str"/>
      <x:c r="F20" s="12" t="str"/>
      <x:c r="G20" s="12" t="str"/>
      <x:c r="H20" s="12" t="str"/>
    </x:row>
    <x:row r="21">
      <x:c r="A21" s="12" t="str"/>
      <x:c r="B21" s="12" t="str"/>
      <x:c r="C21" s="15" t="str"/>
      <x:c r="D21" s="12" t="str"/>
      <x:c r="E21" s="12" t="str"/>
      <x:c r="F21" s="12" t="str"/>
      <x:c r="G21" s="12" t="str"/>
      <x:c r="H21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0.670000076293945" hidden="0" customWidth="1"/>
    <x:col min="3" max="3" width="3.440000057220459" hidden="0" customWidth="1"/>
    <x:col min="4" max="4" width="6.440000057220459" hidden="0" customWidth="1"/>
    <x:col min="5" max="5" width="3.440000057220459" hidden="0" customWidth="1"/>
    <x:col min="6" max="6" width="3.440000057220459" hidden="0" customWidth="1"/>
    <x:col min="7" max="7" width="5" hidden="0" customWidth="1"/>
    <x:col min="8" max="8" width="5" hidden="0" customWidth="1"/>
    <x:col min="9" max="9" width="6.440000057220459" hidden="0" customWidth="1"/>
    <x:col min="10" max="10" width="5" hidden="0" customWidth="1"/>
    <x:col min="11" max="11" width="5" hidden="0" customWidth="1"/>
  </x:cols>
  <x:sheetData>
    <x:row r="1">
      <x:c r="A1" s="11" t="str">
        <x:v>月</x:v>
      </x:c>
      <x:c r="B1" s="11" t="str">
        <x:v>カテゴリ</x:v>
      </x:c>
      <x:c r="C1" s="11" t="str">
        <x:v>売上</x:v>
      </x:c>
      <x:c r="D1" s="11" t="str">
        <x:v>仕入原価</x:v>
      </x:c>
      <x:c r="E1" s="11" t="str">
        <x:v>送料</x:v>
      </x:c>
      <x:c r="F1" s="11" t="str">
        <x:v>関税</x:v>
      </x:c>
      <x:c r="G1" s="11" t="str">
        <x:v>手数料</x:v>
      </x:c>
      <x:c r="H1" s="11" t="str">
        <x:v>外注費</x:v>
      </x:c>
      <x:c r="I1" s="11" t="str">
        <x:v>実質利益</x:v>
      </x:c>
      <x:c r="J1" s="11" t="str">
        <x:v>利益率</x:v>
      </x:c>
      <x:c r="K1" s="11" t="str">
        <x:v>判断</x:v>
      </x:c>
    </x:row>
    <x:row r="2">
      <x:c r="A2" s="12" t="str">
        <x:v>2026年05月</x:v>
      </x:c>
      <x:c r="B2" s="12" t="str">
        <x:v>ゲーム機</x:v>
      </x:c>
      <x:c r="C2" s="15"/>
      <x:c r="D2" s="15"/>
      <x:c r="E2" s="15"/>
      <x:c r="F2" s="15"/>
      <x:c r="G2" s="15"/>
      <x:c r="H2" s="15"/>
      <x:c r="I2" s="15" t="str">
        <x:f>IF(C2="","",C2-D2-E2-F2-G2-H2)</x:f>
      </x:c>
      <x:c r="J2" s="16" t="str">
        <x:f>IFERROR(I2/C2,"")</x:f>
      </x:c>
      <x:c r="K2" s="12" t="str">
        <x:f>IF(C2="","未入力",IF(J2&gt;=0.2,"伸ばす",IF(J2&gt;=0.08,"価格見直し","停止候補")))</x:f>
        <x:v>未入力</x:v>
      </x:c>
    </x:row>
    <x:row r="3">
      <x:c r="A3" s="12" t="str">
        <x:v>2026年05月</x:v>
      </x:c>
      <x:c r="B3" s="12" t="str">
        <x:v>無線機</x:v>
      </x:c>
      <x:c r="C3" s="15"/>
      <x:c r="D3" s="15"/>
      <x:c r="E3" s="15"/>
      <x:c r="F3" s="15"/>
      <x:c r="G3" s="15"/>
      <x:c r="H3" s="15"/>
      <x:c r="I3" s="15" t="str">
        <x:f>IF(C3="","",C3-D3-E3-F3-G3-H3)</x:f>
      </x:c>
      <x:c r="J3" s="16" t="str">
        <x:f>IFERROR(I3/C3,"")</x:f>
      </x:c>
      <x:c r="K3" s="12" t="str">
        <x:f>IF(C3="","未入力",IF(J3&gt;=0.2,"伸ばす",IF(J3&gt;=0.08,"価格見直し","停止候補")))</x:f>
        <x:v>未入力</x:v>
      </x:c>
    </x:row>
    <x:row r="4">
      <x:c r="A4" s="12" t="str">
        <x:v>2026年05月</x:v>
      </x:c>
      <x:c r="B4" s="12" t="str">
        <x:v>ブランド品</x:v>
      </x:c>
      <x:c r="C4" s="15"/>
      <x:c r="D4" s="15"/>
      <x:c r="E4" s="15"/>
      <x:c r="F4" s="15"/>
      <x:c r="G4" s="15"/>
      <x:c r="H4" s="15"/>
      <x:c r="I4" s="15" t="str">
        <x:f>IF(C4="","",C4-D4-E4-F4-G4-H4)</x:f>
      </x:c>
      <x:c r="J4" s="16" t="str">
        <x:f>IFERROR(I4/C4,"")</x:f>
      </x:c>
      <x:c r="K4" s="12" t="str">
        <x:f>IF(C4="","未入力",IF(J4&gt;=0.2,"伸ばす",IF(J4&gt;=0.08,"価格見直し","停止候補")))</x:f>
        <x:v>未入力</x:v>
      </x:c>
    </x:row>
    <x:row r="5">
      <x:c r="A5" s="12" t="str">
        <x:v>2026年05月</x:v>
      </x:c>
      <x:c r="B5" s="12" t="str">
        <x:v>カーパーツ</x:v>
      </x:c>
      <x:c r="C5" s="15"/>
      <x:c r="D5" s="15"/>
      <x:c r="E5" s="15"/>
      <x:c r="F5" s="15"/>
      <x:c r="G5" s="15"/>
      <x:c r="H5" s="15"/>
      <x:c r="I5" s="15" t="str">
        <x:f>IF(C5="","",C5-D5-E5-F5-G5-H5)</x:f>
      </x:c>
      <x:c r="J5" s="16" t="str">
        <x:f>IFERROR(I5/C5,"")</x:f>
      </x:c>
      <x:c r="K5" s="12" t="str">
        <x:f>IF(C5="","未入力",IF(J5&gt;=0.2,"伸ばす",IF(J5&gt;=0.08,"価格見直し","停止候補")))</x:f>
        <x:v>未入力</x:v>
      </x:c>
    </x:row>
    <x:row r="6">
      <x:c r="A6" s="12" t="str">
        <x:v>2026年05月</x:v>
      </x:c>
      <x:c r="B6" s="12" t="str">
        <x:v>カーオーディオ</x:v>
      </x:c>
      <x:c r="C6" s="15"/>
      <x:c r="D6" s="15"/>
      <x:c r="E6" s="15"/>
      <x:c r="F6" s="15"/>
      <x:c r="G6" s="15"/>
      <x:c r="H6" s="15"/>
      <x:c r="I6" s="15" t="str">
        <x:f>IF(C6="","",C6-D6-E6-F6-G6-H6)</x:f>
      </x:c>
      <x:c r="J6" s="16" t="str">
        <x:f>IFERROR(I6/C6,"")</x:f>
      </x:c>
      <x:c r="K6" s="12" t="str">
        <x:f>IF(C6="","未入力",IF(J6&gt;=0.2,"伸ばす",IF(J6&gt;=0.08,"価格見直し","停止候補")))</x:f>
        <x:v>未入力</x:v>
      </x:c>
    </x:row>
    <x:row r="7">
      <x:c r="A7" s="12" t="str">
        <x:v>2026年05月</x:v>
      </x:c>
      <x:c r="B7" s="12" t="str">
        <x:v>その他</x:v>
      </x:c>
      <x:c r="C7" s="15"/>
      <x:c r="D7" s="15"/>
      <x:c r="E7" s="15"/>
      <x:c r="F7" s="15"/>
      <x:c r="G7" s="15"/>
      <x:c r="H7" s="15"/>
      <x:c r="I7" s="15" t="str">
        <x:f>IF(C7="","",C7-D7-E7-F7-G7-H7)</x:f>
      </x:c>
      <x:c r="J7" s="16" t="str">
        <x:f>IFERROR(I7/C7,"")</x:f>
      </x:c>
      <x:c r="K7" s="12" t="str">
        <x:f>IF(C7="","未入力",IF(J7&gt;=0.2,"伸ばす",IF(J7&gt;=0.08,"価格見直し","停止候補")))</x:f>
        <x:v>未入力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1.4399995803833" hidden="0" customWidth="1"/>
    <x:col min="3" max="3" width="8.4399995803833" hidden="0" customWidth="1"/>
    <x:col min="4" max="4" width="15.779999732971191" hidden="0" customWidth="1"/>
    <x:col min="5" max="5" width="5" hidden="0" customWidth="1"/>
    <x:col min="6" max="6" width="22.670000076293945" hidden="0" customWidth="1"/>
  </x:cols>
  <x:sheetData>
    <x:row r="1">
      <x:c r="A1" s="11" t="str">
        <x:v>ID</x:v>
      </x:c>
      <x:c r="B1" s="11" t="str">
        <x:v>種別</x:v>
      </x:c>
      <x:c r="C1" s="11" t="str">
        <x:v>推定月</x:v>
      </x:c>
      <x:c r="D1" s="11" t="str">
        <x:v>理由</x:v>
      </x:c>
      <x:c r="E1" s="11" t="str">
        <x:v>状態</x:v>
      </x:c>
      <x:c r="F1" s="11" t="str">
        <x:v>次アクション</x:v>
      </x:c>
    </x:row>
    <x:row r="2">
      <x:c r="A2" s="12" t="str">
        <x:v>REV-001</x:v>
      </x:c>
      <x:c r="B2" s="12" t="str">
        <x:v>未分類ファイル</x:v>
      </x:c>
      <x:c r="C2" s="12" t="str">
        <x:v>全体</x:v>
      </x:c>
      <x:c r="D2" s="12" t="str">
        <x:v>00_要確認に50件</x:v>
      </x:c>
      <x:c r="E2" s="12" t="str">
        <x:v>未完了</x:v>
      </x:c>
      <x:c r="F2" s="12" t="str">
        <x:v>マスク済み移動予定リストを確認</x:v>
      </x:c>
    </x:row>
    <x:row r="3">
      <x:c r="A3" s="12" t="str">
        <x:v>REV-002</x:v>
      </x:c>
      <x:c r="B3" s="12" t="str">
        <x:v>年フォルダ表記</x:v>
      </x:c>
      <x:c r="C3" s="12" t="str">
        <x:v>2026年</x:v>
      </x:c>
      <x:c r="D3" s="12" t="str">
        <x:v>2026 と 2026年 が混在</x:v>
      </x:c>
      <x:c r="E3" s="12" t="str">
        <x:v>未完了</x:v>
      </x:c>
      <x:c r="F3" s="12" t="str">
        <x:v>正式表記を決める</x:v>
      </x:c>
    </x:row>
    <x:row r="4">
      <x:c r="A4" s="12" t="str">
        <x:v>REV-003</x:v>
      </x:c>
      <x:c r="B4" s="12" t="str">
        <x:v>画像ノイズ</x:v>
      </x:c>
      <x:c r="C4" s="12" t="str">
        <x:v>2025年12月</x:v>
      </x:c>
      <x:c r="D4" s="12" t="str">
        <x:v>メール装飾画像候補</x:v>
      </x:c>
      <x:c r="E4" s="12" t="str">
        <x:v>未完了</x:v>
      </x:c>
      <x:c r="F4" s="12" t="str">
        <x:v>削除せず除外候補にする</x:v>
      </x:c>
    </x:row>
    <x:row r="5">
      <x:c r="A5" s="12" t="str">
        <x:v>REV-004</x:v>
      </x:c>
      <x:c r="B5" s="12" t="str">
        <x:v>Script Properties</x:v>
      </x:c>
      <x:c r="C5" s="12" t="str">
        <x:v>全体</x:v>
      </x:c>
      <x:c r="D5" s="12" t="str">
        <x:v>値露出リスク</x:v>
      </x:c>
      <x:c r="E5" s="12" t="str">
        <x:v>未確認</x:v>
      </x:c>
      <x:c r="F5" s="12" t="str">
        <x:v>キー名確認も別承認</x:v>
      </x:c>
    </x:row>
    <x:row r="6">
      <x:c r="A6" s="12" t="str">
        <x:v>REV-005</x:v>
      </x:c>
      <x:c r="B6" s="12" t="str">
        <x:v>関税実績</x:v>
      </x:c>
      <x:c r="C6" s="12" t="str">
        <x:v>全体</x:v>
      </x:c>
      <x:c r="D6" s="12" t="str">
        <x:v>保存場所未確定</x:v>
      </x:c>
      <x:c r="E6" s="12" t="str">
        <x:v>未完了</x:v>
      </x:c>
      <x:c r="F6" s="12" t="str">
        <x:v>保存場所を確認</x:v>
      </x:c>
    </x:row>
    <x:row r="7">
      <x:c r="A7" s="12" t="str">
        <x:v>REV-006</x:v>
      </x:c>
      <x:c r="B7" s="12" t="str">
        <x:v>商品別仕入原価</x:v>
      </x:c>
      <x:c r="C7" s="12" t="str">
        <x:v>全体</x:v>
      </x:c>
      <x:c r="D7" s="12" t="str">
        <x:v>在庫ログ接続未確定</x:v>
      </x:c>
      <x:c r="E7" s="12" t="str">
        <x:v>未完了</x:v>
      </x:c>
      <x:c r="F7" s="12" t="str">
        <x:v>列名を確認</x:v>
      </x:c>
    </x:row>
    <x:row r="8">
      <x:c r="A8" s="12" t="str">
        <x:v>REV-007</x:v>
      </x:c>
      <x:c r="B8" s="12" t="str">
        <x:v>実行ログ</x:v>
      </x:c>
      <x:c r="C8" s="12" t="str">
        <x:v>全体</x:v>
      </x:c>
      <x:c r="D8" s="12" t="str">
        <x:v>既存ログ有無未確認</x:v>
      </x:c>
      <x:c r="E8" s="12" t="str">
        <x:v>未完了</x:v>
      </x:c>
      <x:c r="F8" s="12" t="str">
        <x:v>ログシート仕様を実装候補化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18.329999923706055" hidden="0" customWidth="1"/>
    <x:col min="3" max="3" width="3.440000057220459" hidden="0" customWidth="1"/>
    <x:col min="4" max="4" width="21.889999389648438" hidden="0" customWidth="1"/>
    <x:col min="5" max="5" width="15.329999923706055" hidden="0" customWidth="1"/>
  </x:cols>
  <x:sheetData>
    <x:row r="1">
      <x:c r="A1" s="11" t="str">
        <x:v>目安</x:v>
      </x:c>
      <x:c r="B1" s="11" t="str">
        <x:v>チェック</x:v>
      </x:c>
      <x:c r="C1" s="11" t="str">
        <x:v>状態</x:v>
      </x:c>
      <x:c r="D1" s="11" t="str">
        <x:v>確認先</x:v>
      </x:c>
      <x:c r="E1" s="11" t="str">
        <x:v>備考</x:v>
      </x:c>
    </x:row>
    <x:row r="2">
      <x:c r="A2" s="12" t="str">
        <x:v>毎月7日</x:v>
      </x:c>
      <x:c r="B2" s="12" t="str">
        <x:v>eBay売上・円換算の確認</x:v>
      </x:c>
      <x:c r="C2" s="12" t="str">
        <x:v>未</x:v>
      </x:c>
      <x:c r="D2" s="12" t="str">
        <x:v>eBay売上一覧 / 円換算</x:v>
      </x:c>
      <x:c r="E2" s="12" t="str">
        <x:v>本番GAS変更なし</x:v>
      </x:c>
    </x:row>
    <x:row r="3">
      <x:c r="A3" s="12" t="str">
        <x:v>毎月7日</x:v>
      </x:c>
      <x:c r="B3" s="12" t="str">
        <x:v>請求書・領収書の保存確認</x:v>
      </x:c>
      <x:c r="C3" s="12" t="str">
        <x:v>未</x:v>
      </x:c>
      <x:c r="D3" s="12" t="str">
        <x:v>01_請求書メール / 税理士提出用</x:v>
      </x:c>
      <x:c r="E3" s="12" t="str">
        <x:v>迷子は要確認へ</x:v>
      </x:c>
    </x:row>
    <x:row r="4">
      <x:c r="A4" s="12" t="str">
        <x:v>毎月11日</x:v>
      </x:c>
      <x:c r="B4" s="12" t="str">
        <x:v>外注費の確認</x:v>
      </x:c>
      <x:c r="C4" s="12" t="str">
        <x:v>未</x:v>
      </x:c>
      <x:c r="D4" s="12" t="str">
        <x:v>外注費一覧</x:v>
      </x:c>
      <x:c r="E4" s="12" t="str">
        <x:v>個人情報は保存しない</x:v>
      </x:c>
    </x:row>
    <x:row r="5">
      <x:c r="A5" s="12" t="str">
        <x:v>毎月15日</x:v>
      </x:c>
      <x:c r="B5" s="12" t="str">
        <x:v>税理士提出チェック</x:v>
      </x:c>
      <x:c r="C5" s="12" t="str">
        <x:v>未</x:v>
      </x:c>
      <x:c r="D5" s="12" t="str">
        <x:v>税理士提出チェックリスト</x:v>
      </x:c>
      <x:c r="E5" s="12" t="str">
        <x:v>通知テストは確認後</x:v>
      </x:c>
    </x:row>
    <x:row r="6">
      <x:c r="A6" s="12" t="str">
        <x:v>月末</x:v>
      </x:c>
      <x:c r="B6" s="12" t="str">
        <x:v>経営サマリー確認</x:v>
      </x:c>
      <x:c r="C6" s="12" t="str">
        <x:v>未</x:v>
      </x:c>
      <x:c r="D6" s="12" t="str">
        <x:v>経営サマリー</x:v>
      </x:c>
      <x:c r="E6" s="12" t="str">
        <x:v>実質利益を見る</x:v>
      </x:c>
    </x:row>
    <x:row r="7">
      <x:c r="A7" s="12" t="str">
        <x:v>月末</x:v>
      </x:c>
      <x:c r="B7" s="12" t="str">
        <x:v>固定費・サブスク見直し</x:v>
      </x:c>
      <x:c r="C7" s="12" t="str">
        <x:v>未</x:v>
      </x:c>
      <x:c r="D7" s="12" t="str">
        <x:v>支出サブスク</x:v>
      </x:c>
      <x:c r="E7" s="12" t="str">
        <x:v>削減候補を見る</x:v>
      </x:c>
    </x:row>
    <x:row r="8">
      <x:c r="A8" s="12" t="str">
        <x:v>随時</x:v>
      </x:c>
      <x:c r="B8" s="12" t="str">
        <x:v>00_要確認の整理</x:v>
      </x:c>
      <x:c r="C8" s="12" t="str">
        <x:v>未</x:v>
      </x:c>
      <x:c r="D8" s="12" t="str">
        <x:v>マスク済みリスト</x:v>
      </x:c>
      <x:c r="E8" s="12" t="str">
        <x:v>実移動は承認後</x:v>
      </x:c>
    </x:row>
    <x:row r="9">
      <x:c r="A9" s="12" t="str">
        <x:v>随時</x:v>
      </x:c>
      <x:c r="B9" s="12" t="str">
        <x:v>エラー確認</x:v>
      </x:c>
      <x:c r="C9" s="12" t="str">
        <x:v>未</x:v>
      </x:c>
      <x:c r="D9" s="12" t="str">
        <x:v>実行ログ / トリガー履歴</x:v>
      </x:c>
      <x:c r="E9" s="12" t="str">
        <x:v>再実行は確認後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9999866485596" hidden="0" customWidth="1"/>
    <x:col min="2" max="2" width="20.329999923706055" hidden="0" customWidth="1"/>
    <x:col min="3" max="3" width="19.780000686645508" hidden="0" customWidth="1"/>
    <x:col min="4" max="4" width="6.440000057220459" hidden="0" customWidth="1"/>
  </x:cols>
  <x:sheetData>
    <x:row r="1">
      <x:c r="A1" s="11" t="str">
        <x:v>区分</x:v>
      </x:c>
      <x:c r="B1" s="11" t="str">
        <x:v>値</x:v>
      </x:c>
      <x:c r="C1" s="11" t="str">
        <x:v>説明</x:v>
      </x:c>
      <x:c r="D1" s="11" t="str">
        <x:v>変更可否</x:v>
      </x:c>
    </x:row>
    <x:row r="2">
      <x:c r="A2" s="12" t="str">
        <x:v>対象月</x:v>
      </x:c>
      <x:c r="B2" s="12" t="str">
        <x:v>2026年05月</x:v>
      </x:c>
      <x:c r="C2" s="12" t="str">
        <x:v>経営サマリーで見る月</x:v>
      </x:c>
      <x:c r="D2" s="12" t="str">
        <x:v>可</x:v>
      </x:c>
    </x:row>
    <x:row r="3">
      <x:c r="A3" s="12" t="str">
        <x:v>状態ラベル</x:v>
      </x:c>
      <x:c r="B3" s="12" t="str">
        <x:v>済</x:v>
      </x:c>
      <x:c r="C3" s="12" t="str">
        <x:v>データあり</x:v>
      </x:c>
      <x:c r="D3" s="12" t="str">
        <x:v>固定</x:v>
      </x:c>
    </x:row>
    <x:row r="4">
      <x:c r="A4" s="12" t="str">
        <x:v>状態ラベル</x:v>
      </x:c>
      <x:c r="B4" s="12" t="str">
        <x:v>未</x:v>
      </x:c>
      <x:c r="C4" s="12" t="str">
        <x:v>データなし</x:v>
      </x:c>
      <x:c r="D4" s="12" t="str">
        <x:v>固定</x:v>
      </x:c>
    </x:row>
    <x:row r="5">
      <x:c r="A5" s="12" t="str">
        <x:v>状態ラベル</x:v>
      </x:c>
      <x:c r="B5" s="12" t="str">
        <x:v>要確認</x:v>
      </x:c>
      <x:c r="C5" s="12" t="str">
        <x:v>分類・月・金額に確認あり</x:v>
      </x:c>
      <x:c r="D5" s="12" t="str">
        <x:v>固定</x:v>
      </x:c>
    </x:row>
    <x:row r="6">
      <x:c r="A6" s="12" t="str">
        <x:v>カテゴリ</x:v>
      </x:c>
      <x:c r="B6" s="12" t="str">
        <x:v>ゲーム機</x:v>
      </x:c>
      <x:c r="C6" s="12" t="str">
        <x:v>商品カテゴリ</x:v>
      </x:c>
      <x:c r="D6" s="12" t="str">
        <x:v>可</x:v>
      </x:c>
    </x:row>
    <x:row r="7">
      <x:c r="A7" s="12" t="str">
        <x:v>カテゴリ</x:v>
      </x:c>
      <x:c r="B7" s="12" t="str">
        <x:v>無線機</x:v>
      </x:c>
      <x:c r="C7" s="12" t="str">
        <x:v>商品カテゴリ</x:v>
      </x:c>
      <x:c r="D7" s="12" t="str">
        <x:v>可</x:v>
      </x:c>
    </x:row>
    <x:row r="8">
      <x:c r="A8" s="12" t="str">
        <x:v>カテゴリ</x:v>
      </x:c>
      <x:c r="B8" s="12" t="str">
        <x:v>ブランド品</x:v>
      </x:c>
      <x:c r="C8" s="12" t="str">
        <x:v>商品カテゴリ</x:v>
      </x:c>
      <x:c r="D8" s="12" t="str">
        <x:v>可</x:v>
      </x:c>
    </x:row>
    <x:row r="9">
      <x:c r="A9" s="12" t="str">
        <x:v>カテゴリ</x:v>
      </x:c>
      <x:c r="B9" s="12" t="str">
        <x:v>カーパーツ</x:v>
      </x:c>
      <x:c r="C9" s="12" t="str">
        <x:v>商品カテゴリ</x:v>
      </x:c>
      <x:c r="D9" s="12" t="str">
        <x:v>可</x:v>
      </x:c>
    </x:row>
    <x:row r="10">
      <x:c r="A10" s="12" t="str">
        <x:v>カテゴリ</x:v>
      </x:c>
      <x:c r="B10" s="12" t="str">
        <x:v>カーオーディオ</x:v>
      </x:c>
      <x:c r="C10" s="12" t="str">
        <x:v>商品カテゴリ</x:v>
      </x:c>
      <x:c r="D10" s="12" t="str">
        <x:v>可</x:v>
      </x:c>
    </x:row>
    <x:row r="11">
      <x:c r="A11" s="12" t="str">
        <x:v>カテゴリ</x:v>
      </x:c>
      <x:c r="B11" s="12" t="str">
        <x:v>その他</x:v>
      </x:c>
      <x:c r="C11" s="12" t="str">
        <x:v>商品カテゴリ</x:v>
      </x:c>
      <x:c r="D11" s="12" t="str">
        <x:v>可</x:v>
      </x:c>
    </x:row>
    <x:row r="12">
      <x:c r="A12" s="12" t="str">
        <x:v>注意</x:v>
      </x:c>
      <x:c r="B12" s="12" t="str">
        <x:v>本番GASは未変更</x:v>
      </x:c>
      <x:c r="C12" s="12" t="str">
        <x:v>この試作ブックは参照設計用</x:v>
      </x:c>
      <x:c r="D12" s="12" t="str">
        <x:v>固定</x:v>
      </x:c>
    </x:row>
    <x:row r="13">
      <x:c r="A13" s="12" t="str">
        <x:v>注意</x:v>
      </x:c>
      <x:c r="B13" s="12" t="str">
        <x:v>金額は未入力</x:v>
      </x:c>
      <x:c r="C13" s="12" t="str">
        <x:v>実データ接続前の雛形</x:v>
      </x:c>
      <x:c r="D13" s="12" t="str">
        <x:v>固定</x:v>
      </x:c>
    </x:row>
    <x:row r="14">
      <x:c r="A14" s="12" t="str">
        <x:v>注意</x:v>
      </x:c>
      <x:c r="B14" s="12" t="str">
        <x:v>個人情報は入れない</x:v>
      </x:c>
      <x:c r="C14" s="12" t="str">
        <x:v>月合計・分類名だけ扱う</x:v>
      </x:c>
      <x:c r="D14" s="12" t="str">
        <x:v>固定</x:v>
      </x:c>
    </x:row>
    <x:row r="15">
      <x:c r="A15" s="12" t="str">
        <x:v>注意</x:v>
      </x:c>
      <x:c r="B15" s="12" t="str">
        <x:v>Drive移動なし</x:v>
      </x:c>
      <x:c r="C15" s="12" t="str">
        <x:v>移動は別承認後</x:v>
      </x:c>
      <x:c r="D15" s="12" t="str">
        <x:v>固定</x:v>
      </x:c>
    </x:row>
    <x:row r="16">
      <x:c r="A16" s="12" t="str">
        <x:v>注意</x:v>
      </x:c>
      <x:c r="B16" s="12" t="str">
        <x:v>Script Properties値は扱わない</x:v>
      </x:c>
      <x:c r="C16" s="12" t="str">
        <x:v>キー名確認も別承認</x:v>
      </x:c>
      <x:c r="D16" s="12" t="str">
        <x:v>固定</x:v>
      </x:c>
    </x:row>
  </x:sheetData>
  <x:pageMargins left="0.7" right="0.7" top="0.75" bottom="0.75" header="0.3" footer="0.3"/>
</x:worksheet>
</file>